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a1024f72e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dc0a0f82ef24b8f"/>
  </x:sheets>
</x:workbook>
</file>

<file path=xl/sharedStrings.xml><?xml version="1.0" encoding="utf-8"?>
<x:sst xmlns:x="http://schemas.openxmlformats.org/spreadsheetml/2006/main">
  <x:si>
    <x:t xml:space="preserve">Район</x:t>
  </x:si>
  <x:si>
    <x:t xml:space="preserve">Индекс_Огня</x:t>
  </x:si>
  <x:si>
    <x:t xml:space="preserve">Индекс_Воды</x:t>
  </x:si>
  <x:si>
    <x:t xml:space="preserve">Комплексный_Риск</x:t>
  </x:si>
  <x:si>
    <x:t xml:space="preserve">Мультириск_ФИНАЛ</x:t>
  </x:si>
  <x:si>
    <x:t xml:space="preserve">Чистопольский район</x:t>
  </x:si>
  <x:si>
    <x:t xml:space="preserve">Нижнекамский район</x:t>
  </x:si>
  <x:si>
    <x:t xml:space="preserve">Азнакаевский район</x:t>
  </x:si>
  <x:si>
    <x:t xml:space="preserve">Казань</x:t>
  </x:si>
  <x:si>
    <x:t xml:space="preserve">Мамадышский район</x:t>
  </x:si>
  <x:si>
    <x:t xml:space="preserve">Новошешминский район</x:t>
  </x:si>
  <x:si>
    <x:t xml:space="preserve">Ютазинский район</x:t>
  </x:si>
  <x:si>
    <x:t xml:space="preserve">Муслюмовский район</x:t>
  </x:si>
  <x:si>
    <x:t xml:space="preserve">Тукаевский район</x:t>
  </x:si>
  <x:si>
    <x:t xml:space="preserve">Мензелинский район</x:t>
  </x:si>
  <x:si>
    <x:t xml:space="preserve">Спасский район</x:t>
  </x:si>
  <x:si>
    <x:t xml:space="preserve">Лаишевский район</x:t>
  </x:si>
  <x:si>
    <x:t xml:space="preserve">Тетюшский район</x:t>
  </x:si>
  <x:si>
    <x:t xml:space="preserve">Атнинский район</x:t>
  </x:si>
  <x:si>
    <x:t xml:space="preserve">Черемшанский район</x:t>
  </x:si>
  <x:si>
    <x:t xml:space="preserve">Альметьевский район</x:t>
  </x:si>
  <x:si>
    <x:t xml:space="preserve">Елабужский район</x:t>
  </x:si>
  <x:si>
    <x:t xml:space="preserve">Буинский район</x:t>
  </x:si>
  <x:si>
    <x:t xml:space="preserve">Алексеевский район</x:t>
  </x:si>
  <x:si>
    <x:t xml:space="preserve">Высокогорский район</x:t>
  </x:si>
  <x:si>
    <x:t xml:space="preserve">Зеленодольский район</x:t>
  </x:si>
  <x:si>
    <x:t xml:space="preserve">Нурлатский район</x:t>
  </x:si>
  <x:si>
    <x:t xml:space="preserve">Бавлинский район</x:t>
  </x:si>
  <x:si>
    <x:t xml:space="preserve">Заинский район</x:t>
  </x:si>
  <x:si>
    <x:t xml:space="preserve">Тюлячинский район</x:t>
  </x:si>
  <x:si>
    <x:t xml:space="preserve">Кайбицкий район</x:t>
  </x:si>
  <x:si>
    <x:t xml:space="preserve">Аксубаевский район</x:t>
  </x:si>
  <x:si>
    <x:t xml:space="preserve">Агрызский район</x:t>
  </x:si>
  <x:si>
    <x:t xml:space="preserve">Менделеевский район</x:t>
  </x:si>
  <x:si>
    <x:t xml:space="preserve">Актанышский район</x:t>
  </x:si>
  <x:si>
    <x:t xml:space="preserve">Кукморский район</x:t>
  </x:si>
  <x:si>
    <x:t xml:space="preserve">Арский район</x:t>
  </x:si>
  <x:si>
    <x:t xml:space="preserve">Рыбно-Слободский район</x:t>
  </x:si>
  <x:si>
    <x:t xml:space="preserve">Балтасинский район</x:t>
  </x:si>
  <x:si>
    <x:t xml:space="preserve">Сармановский район</x:t>
  </x:si>
  <x:si>
    <x:t xml:space="preserve">Дрожжановский район</x:t>
  </x:si>
  <x:si>
    <x:t xml:space="preserve">Сабинский район</x:t>
  </x:si>
  <x:si>
    <x:t xml:space="preserve">Бугульминский район</x:t>
  </x:si>
  <x:si>
    <x:t xml:space="preserve">Лениногорский район</x:t>
  </x:si>
  <x:si>
    <x:t xml:space="preserve">Алькеевский район</x:t>
  </x:si>
  <x:si>
    <x:t xml:space="preserve">Верхнеуслонский район</x:t>
  </x:si>
  <x:si>
    <x:t xml:space="preserve">Апастовский район</x:t>
  </x:si>
  <x:si>
    <x:t xml:space="preserve">Камско-Устьинский район</x:t>
  </x:si>
  <x:si>
    <x:t xml:space="preserve">Пестречинский район</x:t>
  </x:si>
  <x:si>
    <x:t xml:space="preserve">Набережные Челны</x:t>
  </x:si>
</x:sst>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color theme="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d9c1d8e844535" /><Relationship Type="http://schemas.openxmlformats.org/officeDocument/2006/relationships/theme" Target="/xl/theme/theme1.xml" Id="Raa93a8dc7d504548" /><Relationship Type="http://schemas.openxmlformats.org/officeDocument/2006/relationships/sharedStrings" Target="/xl/sharedStrings.xml" Id="R513fdb54fdee49a4" /><Relationship Type="http://schemas.openxmlformats.org/officeDocument/2006/relationships/worksheet" Target="/xl/worksheets/sheet1.xml" Id="R3dc0a0f82ef24b8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11.3100004196167" hidden="0" customWidth="1"/>
    <x:col min="3" max="3" width="11.84000015258789" hidden="0" customWidth="1"/>
    <x:col min="4" max="4" width="16.81999969482422" hidden="0" customWidth="1"/>
    <x:col min="5" max="5" width="17.6299991607666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>
      <x:c r="A2" t="s">
        <x:v>5</x:v>
      </x:c>
      <x:c r="B2" s="4" t="n">
        <x:v>0.492</x:v>
      </x:c>
      <x:c r="C2" s="4" t="n">
        <x:v>0.6882</x:v>
      </x:c>
      <x:c r="D2" s="4" t="n">
        <x:f>0.6*B2+0.4*C2</x:f>
        <x:v>0.57048</x:v>
      </x:c>
      <x:c r="E2" s="4" t="n">
        <x:f>IF(MAX($D$2:$D$46)=MIN($D$2:$D$46),0,(D2-MIN($D$2:$D$46))/(MAX($D$2:$D$46)-MIN($D$2:$D$46)))</x:f>
        <x:v>0.5695532610387589</x:v>
      </x:c>
    </x:row>
    <x:row r="3">
      <x:c r="A3" t="s">
        <x:v>6</x:v>
      </x:c>
      <x:c r="B3" s="4" t="n">
        <x:v>0.805</x:v>
      </x:c>
      <x:c r="C3" s="4" t="n">
        <x:v>0.6479</x:v>
      </x:c>
      <x:c r="D3" s="4" t="n">
        <x:f>0.6*B3+0.4*C3</x:f>
        <x:v>0.7421599999999999</x:v>
      </x:c>
      <x:c r="E3" s="4" t="n">
        <x:f>IF(MAX($D$2:$D$46)=MIN($D$2:$D$46),0,(D3-MIN($D$2:$D$46))/(MAX($D$2:$D$46)-MIN($D$2:$D$46)))</x:f>
        <x:v>0.792248222902506</x:v>
      </x:c>
    </x:row>
    <x:row r="4">
      <x:c r="A4" t="s">
        <x:v>7</x:v>
      </x:c>
      <x:c r="B4" s="4" t="n">
        <x:v>0.236</x:v>
      </x:c>
      <x:c r="C4" s="4" t="n">
        <x:v>0.6216</x:v>
      </x:c>
      <x:c r="D4" s="4" t="n">
        <x:f>0.6*B4+0.4*C4</x:f>
        <x:v>0.39024000000000003</x:v>
      </x:c>
      <x:c r="E4" s="4" t="n">
        <x:f>IF(MAX($D$2:$D$46)=MIN($D$2:$D$46),0,(D4-MIN($D$2:$D$46))/(MAX($D$2:$D$46)-MIN($D$2:$D$46)))</x:f>
        <x:v>0.33575468271675407</x:v>
      </x:c>
    </x:row>
    <x:row r="5">
      <x:c r="A5" t="s">
        <x:v>8</x:v>
      </x:c>
      <x:c r="B5" s="4" t="n">
        <x:v>0.395</x:v>
      </x:c>
      <x:c r="C5" s="4" t="n">
        <x:v>0.686</x:v>
      </x:c>
      <x:c r="D5" s="4" t="n">
        <x:f>0.6*B5+0.4*C5</x:f>
        <x:v>0.5114000000000001</x:v>
      </x:c>
      <x:c r="E5" s="4" t="n">
        <x:f>IF(MAX($D$2:$D$46)=MIN($D$2:$D$46),0,(D5-MIN($D$2:$D$46))/(MAX($D$2:$D$46)-MIN($D$2:$D$46)))</x:f>
        <x:v>0.49291755305349466</x:v>
      </x:c>
    </x:row>
    <x:row r="6">
      <x:c r="A6" t="s">
        <x:v>9</x:v>
      </x:c>
      <x:c r="B6" s="4" t="n">
        <x:v>0.501</x:v>
      </x:c>
      <x:c r="C6" s="4" t="n">
        <x:v>0.61</x:v>
      </x:c>
      <x:c r="D6" s="4" t="n">
        <x:f>0.6*B6+0.4*C6</x:f>
        <x:v>0.5446</x:v>
      </x:c>
      <x:c r="E6" s="4" t="n">
        <x:f>IF(MAX($D$2:$D$46)=MIN($D$2:$D$46),0,(D6-MIN($D$2:$D$46))/(MAX($D$2:$D$46)-MIN($D$2:$D$46)))</x:f>
        <x:v>0.5359829813729051</x:v>
      </x:c>
    </x:row>
    <x:row r="7">
      <x:c r="A7" t="s">
        <x:v>10</x:v>
      </x:c>
      <x:c r="B7" s="4" t="n">
        <x:v>0.471</x:v>
      </x:c>
      <x:c r="C7" s="4" t="n">
        <x:v>0.6514</x:v>
      </x:c>
      <x:c r="D7" s="4" t="n">
        <x:f>0.6*B7+0.4*C7</x:f>
        <x:v>0.54316</x:v>
      </x:c>
      <x:c r="E7" s="4" t="n">
        <x:f>IF(MAX($D$2:$D$46)=MIN($D$2:$D$46),0,(D7-MIN($D$2:$D$46))/(MAX($D$2:$D$46)-MIN($D$2:$D$46)))</x:f>
        <x:v>0.5341150832771234</x:v>
      </x:c>
    </x:row>
    <x:row r="8">
      <x:c r="A8" t="s">
        <x:v>11</x:v>
      </x:c>
      <x:c r="B8" s="4" t="n">
        <x:v>0.127</x:v>
      </x:c>
      <x:c r="C8" s="4" t="n">
        <x:v>0.6183</x:v>
      </x:c>
      <x:c r="D8" s="4" t="n">
        <x:f>0.6*B8+0.4*C8</x:f>
        <x:v>0.32352</x:v>
      </x:c>
      <x:c r="E8" s="4" t="n">
        <x:f>IF(MAX($D$2:$D$46)=MIN($D$2:$D$46),0,(D8-MIN($D$2:$D$46))/(MAX($D$2:$D$46)-MIN($D$2:$D$46)))</x:f>
        <x:v>0.24920873761220358</x:v>
      </x:c>
    </x:row>
    <x:row r="9">
      <x:c r="A9" t="s">
        <x:v>12</x:v>
      </x:c>
      <x:c r="B9" s="4" t="n">
        <x:v>0.84</x:v>
      </x:c>
      <x:c r="C9" s="4" t="n">
        <x:v>0.631</x:v>
      </x:c>
      <x:c r="D9" s="4" t="n">
        <x:f>0.6*B9+0.4*C9</x:f>
        <x:v>0.7564</x:v>
      </x:c>
      <x:c r="E9" s="4" t="n">
        <x:f>IF(MAX($D$2:$D$46)=MIN($D$2:$D$46),0,(D9-MIN($D$2:$D$46))/(MAX($D$2:$D$46)-MIN($D$2:$D$46)))</x:f>
        <x:v>0.8107196596274581</x:v>
      </x:c>
    </x:row>
    <x:row r="10">
      <x:c r="A10" t="s">
        <x:v>13</x:v>
      </x:c>
      <x:c r="B10" s="4" t="n">
        <x:v>0.575</x:v>
      </x:c>
      <x:c r="C10" s="4" t="n">
        <x:v>0.6883</x:v>
      </x:c>
      <x:c r="D10" s="4" t="n">
        <x:f>0.6*B10+0.4*C10</x:f>
        <x:v>0.62032</x:v>
      </x:c>
      <x:c r="E10" s="4" t="n">
        <x:f>IF(MAX($D$2:$D$46)=MIN($D$2:$D$46),0,(D10-MIN($D$2:$D$46))/(MAX($D$2:$D$46)-MIN($D$2:$D$46)))</x:f>
        <x:v>0.6342032895760908</x:v>
      </x:c>
    </x:row>
    <x:row r="11">
      <x:c r="A11" t="s">
        <x:v>14</x:v>
      </x:c>
      <x:c r="B11" s="4" t="n">
        <x:v>0.918</x:v>
      </x:c>
      <x:c r="C11" s="4" t="n">
        <x:v>0.7167</x:v>
      </x:c>
      <x:c r="D11" s="4" t="n">
        <x:f>0.6*B11+0.4*C11</x:f>
        <x:v>0.83748</x:v>
      </x:c>
      <x:c r="E11" s="4" t="n">
        <x:f>IF(MAX($D$2:$D$46)=MIN($D$2:$D$46),0,(D11-MIN($D$2:$D$46))/(MAX($D$2:$D$46)-MIN($D$2:$D$46)))</x:f>
        <x:v>0.915892699631609</x:v>
      </x:c>
    </x:row>
    <x:row r="12">
      <x:c r="A12" t="s">
        <x:v>15</x:v>
      </x:c>
      <x:c r="B12" s="4" t="n">
        <x:v>0.809</x:v>
      </x:c>
      <x:c r="C12" s="4" t="n">
        <x:v>0.7739</x:v>
      </x:c>
      <x:c r="D12" s="4" t="n">
        <x:f>0.6*B12+0.4*C12</x:f>
        <x:v>0.7949600000000001</x:v>
      </x:c>
      <x:c r="E12" s="4" t="n">
        <x:f>IF(MAX($D$2:$D$46)=MIN($D$2:$D$46),0,(D12-MIN($D$2:$D$46))/(MAX($D$2:$D$46)-MIN($D$2:$D$46)))</x:f>
        <x:v>0.8607378197478339</x:v>
      </x:c>
    </x:row>
    <x:row r="13">
      <x:c r="A13" t="s">
        <x:v>16</x:v>
      </x:c>
      <x:c r="B13" s="4" t="n">
        <x:v>1</x:v>
      </x:c>
      <x:c r="C13" s="4" t="n">
        <x:v>0.7558</x:v>
      </x:c>
      <x:c r="D13" s="4" t="n">
        <x:f>0.6*B13+0.4*C13</x:f>
        <x:v>0.90232</x:v>
      </x:c>
      <x:c r="E13" s="4" t="n">
        <x:f>IF(MAX($D$2:$D$46)=MIN($D$2:$D$46),0,(D13-MIN($D$2:$D$46))/(MAX($D$2:$D$46)-MIN($D$2:$D$46)))</x:f>
        <x:v>1</x:v>
      </x:c>
    </x:row>
    <x:row r="14">
      <x:c r="A14" t="s">
        <x:v>17</x:v>
      </x:c>
      <x:c r="B14" s="4" t="n">
        <x:v>0.673</x:v>
      </x:c>
      <x:c r="C14" s="4" t="n">
        <x:v>0.6411</x:v>
      </x:c>
      <x:c r="D14" s="4" t="n">
        <x:f>0.6*B14+0.4*C14</x:f>
        <x:v>0.6602399999999999</x:v>
      </x:c>
      <x:c r="E14" s="4" t="n">
        <x:f>IF(MAX($D$2:$D$46)=MIN($D$2:$D$46),0,(D14-MIN($D$2:$D$46))/(MAX($D$2:$D$46)-MIN($D$2:$D$46)))</x:f>
        <x:v>0.6859855756758159</x:v>
      </x:c>
    </x:row>
    <x:row r="15">
      <x:c r="A15" t="s">
        <x:v>18</x:v>
      </x:c>
      <x:c r="B15" s="4" t="n">
        <x:v>0.219</x:v>
      </x:c>
      <x:c r="C15" s="4" t="n">
        <x:v>0</x:v>
      </x:c>
      <x:c r="D15" s="4" t="n">
        <x:f>0.6*B15+0.4*C15</x:f>
        <x:v>0.1314</x:v>
      </x:c>
      <x:c r="E15" s="4" t="n">
        <x:f>IF(MAX($D$2:$D$46)=MIN($D$2:$D$46),0,(D15-MIN($D$2:$D$46))/(MAX($D$2:$D$46)-MIN($D$2:$D$46)))</x:f>
        <x:v>0</x:v>
      </x:c>
    </x:row>
    <x:row r="16">
      <x:c r="A16" t="s">
        <x:v>19</x:v>
      </x:c>
      <x:c r="B16" s="4" t="n">
        <x:v>0.592</x:v>
      </x:c>
      <x:c r="C16" s="4" t="n">
        <x:v>0.6127</x:v>
      </x:c>
      <x:c r="D16" s="4" t="n">
        <x:f>0.6*B16+0.4*C16</x:f>
        <x:v>0.6002799999999999</x:v>
      </x:c>
      <x:c r="E16" s="4" t="n">
        <x:f>IF(MAX($D$2:$D$46)=MIN($D$2:$D$46),0,(D16-MIN($D$2:$D$46))/(MAX($D$2:$D$46)-MIN($D$2:$D$46)))</x:f>
        <x:v>0.608208374409796</x:v>
      </x:c>
    </x:row>
    <x:row r="17">
      <x:c r="A17" t="s">
        <x:v>20</x:v>
      </x:c>
      <x:c r="B17" s="4" t="n">
        <x:v>0.734</x:v>
      </x:c>
      <x:c r="C17" s="4" t="n">
        <x:v>0.5666</x:v>
      </x:c>
      <x:c r="D17" s="4" t="n">
        <x:f>0.6*B17+0.4*C17</x:f>
        <x:v>0.66704</x:v>
      </x:c>
      <x:c r="E17" s="4" t="n">
        <x:f>IF(MAX($D$2:$D$46)=MIN($D$2:$D$46),0,(D17-MIN($D$2:$D$46))/(MAX($D$2:$D$46)-MIN($D$2:$D$46)))</x:f>
        <x:v>0.6948062055725626</x:v>
      </x:c>
    </x:row>
    <x:row r="18">
      <x:c r="A18" t="s">
        <x:v>21</x:v>
      </x:c>
      <x:c r="B18" s="4" t="n">
        <x:v>0.441</x:v>
      </x:c>
      <x:c r="C18" s="4" t="n">
        <x:v>0.6395</x:v>
      </x:c>
      <x:c r="D18" s="4" t="n">
        <x:f>0.6*B18+0.4*C18</x:f>
        <x:v>0.5204</x:v>
      </x:c>
      <x:c r="E18" s="4" t="n">
        <x:f>IF(MAX($D$2:$D$46)=MIN($D$2:$D$46),0,(D18-MIN($D$2:$D$46))/(MAX($D$2:$D$46)-MIN($D$2:$D$46)))</x:f>
        <x:v>0.50459191615213</x:v>
      </x:c>
    </x:row>
    <x:row r="19">
      <x:c r="A19" t="s">
        <x:v>22</x:v>
      </x:c>
      <x:c r="B19" s="4" t="n">
        <x:v>0.506</x:v>
      </x:c>
      <x:c r="C19" s="4" t="n">
        <x:v>0.6588</x:v>
      </x:c>
      <x:c r="D19" s="4" t="n">
        <x:f>0.6*B19+0.4*C19</x:f>
        <x:v>0.5671200000000001</x:v>
      </x:c>
      <x:c r="E19" s="4" t="n">
        <x:f>IF(MAX($D$2:$D$46)=MIN($D$2:$D$46),0,(D19-MIN($D$2:$D$46))/(MAX($D$2:$D$46)-MIN($D$2:$D$46)))</x:f>
        <x:v>0.5651948321486018</x:v>
      </x:c>
    </x:row>
    <x:row r="20">
      <x:c r="A20" t="s">
        <x:v>23</x:v>
      </x:c>
      <x:c r="B20" s="4" t="n">
        <x:v>0.767</x:v>
      </x:c>
      <x:c r="C20" s="4" t="n">
        <x:v>0.7295</x:v>
      </x:c>
      <x:c r="D20" s="4" t="n">
        <x:f>0.6*B20+0.4*C20</x:f>
        <x:v>0.752</x:v>
      </x:c>
      <x:c r="E20" s="4" t="n">
        <x:f>IF(MAX($D$2:$D$46)=MIN($D$2:$D$46),0,(D20-MIN($D$2:$D$46))/(MAX($D$2:$D$46)-MIN($D$2:$D$46)))</x:f>
        <x:v>0.8050121932236808</x:v>
      </x:c>
    </x:row>
    <x:row r="21">
      <x:c r="A21" t="s">
        <x:v>24</x:v>
      </x:c>
      <x:c r="B21" s="4" t="n">
        <x:v>0.209</x:v>
      </x:c>
      <x:c r="C21" s="4" t="n">
        <x:v>0.5857</x:v>
      </x:c>
      <x:c r="D21" s="4" t="n">
        <x:f>0.6*B21+0.4*C21</x:f>
        <x:v>0.35968</x:v>
      </x:c>
      <x:c r="E21" s="4" t="n">
        <x:f>IF(MAX($D$2:$D$46)=MIN($D$2:$D$46),0,(D21-MIN($D$2:$D$46))/(MAX($D$2:$D$46)-MIN($D$2:$D$46)))</x:f>
        <x:v>0.2961137342396098</x:v>
      </x:c>
    </x:row>
    <x:row r="22">
      <x:c r="A22" t="s">
        <x:v>25</x:v>
      </x:c>
      <x:c r="B22" s="4" t="n">
        <x:v>0</x:v>
      </x:c>
      <x:c r="C22" s="4" t="n">
        <x:v>0.6404</x:v>
      </x:c>
      <x:c r="D22" s="4" t="n">
        <x:f>0.6*B22+0.4*C22</x:f>
        <x:v>0.25616</x:v>
      </x:c>
      <x:c r="E22" s="4" t="n">
        <x:f>IF(MAX($D$2:$D$46)=MIN($D$2:$D$46),0,(D22-MIN($D$2:$D$46))/(MAX($D$2:$D$46)-MIN($D$2:$D$46)))</x:f>
        <x:v>0.1618326155761947</x:v>
      </x:c>
    </x:row>
    <x:row r="23">
      <x:c r="A23" t="s">
        <x:v>26</x:v>
      </x:c>
      <x:c r="B23" s="4" t="n">
        <x:v>0.057</x:v>
      </x:c>
      <x:c r="C23" s="4" t="n">
        <x:v>0.6639</x:v>
      </x:c>
      <x:c r="D23" s="4" t="n">
        <x:f>0.6*B23+0.4*C23</x:f>
        <x:v>0.29976</x:v>
      </x:c>
      <x:c r="E23" s="4" t="n">
        <x:f>IF(MAX($D$2:$D$46)=MIN($D$2:$D$46),0,(D23-MIN($D$2:$D$46))/(MAX($D$2:$D$46)-MIN($D$2:$D$46)))</x:f>
        <x:v>0.2183884190318062</x:v>
      </x:c>
    </x:row>
    <x:row r="24">
      <x:c r="A24" t="s">
        <x:v>27</x:v>
      </x:c>
      <x:c r="B24" s="4" t="n">
        <x:v>0.054</x:v>
      </x:c>
      <x:c r="C24" s="4" t="n">
        <x:v>0.5638</x:v>
      </x:c>
      <x:c r="D24" s="4" t="n">
        <x:f>0.6*B24+0.4*C24</x:f>
        <x:v>0.25792</x:v>
      </x:c>
      <x:c r="E24" s="4" t="n">
        <x:f>IF(MAX($D$2:$D$46)=MIN($D$2:$D$46),0,(D24-MIN($D$2:$D$46))/(MAX($D$2:$D$46)-MIN($D$2:$D$46)))</x:f>
        <x:v>0.16411560213770557</x:v>
      </x:c>
    </x:row>
    <x:row r="25">
      <x:c r="A25" t="s">
        <x:v>28</x:v>
      </x:c>
      <x:c r="B25" s="4" t="n">
        <x:v>0.776</x:v>
      </x:c>
      <x:c r="C25" s="4" t="n">
        <x:v>0.5905</x:v>
      </x:c>
      <x:c r="D25" s="4" t="n">
        <x:f>0.6*B25+0.4*C25</x:f>
        <x:v>0.7018</x:v>
      </x:c>
      <x:c r="E25" s="4" t="n">
        <x:f>IF(MAX($D$2:$D$46)=MIN($D$2:$D$46),0,(D25-MIN($D$2:$D$46))/(MAX($D$2:$D$46)-MIN($D$2:$D$46)))</x:f>
        <x:v>0.7398951901624033</x:v>
      </x:c>
    </x:row>
    <x:row r="26">
      <x:c r="A26" t="s">
        <x:v>29</x:v>
      </x:c>
      <x:c r="B26" s="4" t="n">
        <x:v>0.572</x:v>
      </x:c>
      <x:c r="C26" s="4" t="n">
        <x:v>0.6327</x:v>
      </x:c>
      <x:c r="D26" s="4" t="n">
        <x:f>0.6*B26+0.4*C26</x:f>
        <x:v>0.5962799999999999</x:v>
      </x:c>
      <x:c r="E26" s="4" t="n">
        <x:f>IF(MAX($D$2:$D$46)=MIN($D$2:$D$46),0,(D26-MIN($D$2:$D$46))/(MAX($D$2:$D$46)-MIN($D$2:$D$46)))</x:f>
        <x:v>0.6030197685881803</x:v>
      </x:c>
    </x:row>
    <x:row r="27">
      <x:c r="A27" t="s">
        <x:v>30</x:v>
      </x:c>
      <x:c r="B27" s="4" t="n">
        <x:v>0.435</x:v>
      </x:c>
      <x:c r="C27" s="4" t="n">
        <x:v>0.6033</x:v>
      </x:c>
      <x:c r="D27" s="4" t="n">
        <x:f>0.6*B27+0.4*C27</x:f>
        <x:v>0.50232</x:v>
      </x:c>
      <x:c r="E27" s="4" t="n">
        <x:f>IF(MAX($D$2:$D$46)=MIN($D$2:$D$46),0,(D27-MIN($D$2:$D$46))/(MAX($D$2:$D$46)-MIN($D$2:$D$46)))</x:f>
        <x:v>0.48113941783842684</x:v>
      </x:c>
    </x:row>
    <x:row r="28">
      <x:c r="A28" t="s">
        <x:v>31</x:v>
      </x:c>
      <x:c r="B28" s="4" t="n">
        <x:v>0.723</x:v>
      </x:c>
      <x:c r="C28" s="4" t="n">
        <x:v>0.6654</x:v>
      </x:c>
      <x:c r="D28" s="4" t="n">
        <x:f>0.6*B28+0.4*C28</x:f>
        <x:v>0.6999599999999999</x:v>
      </x:c>
      <x:c r="E28" s="4" t="n">
        <x:f>IF(MAX($D$2:$D$46)=MIN($D$2:$D$46),0,(D28-MIN($D$2:$D$46))/(MAX($D$2:$D$46)-MIN($D$2:$D$46)))</x:f>
        <x:v>0.73750843148446</x:v>
      </x:c>
    </x:row>
    <x:row r="29">
      <x:c r="A29" t="s">
        <x:v>32</x:v>
      </x:c>
      <x:c r="B29" s="4" t="n">
        <x:v>0.726</x:v>
      </x:c>
      <x:c r="C29" s="4" t="n">
        <x:v>0.6909</x:v>
      </x:c>
      <x:c r="D29" s="4" t="n">
        <x:f>0.6*B29+0.4*C29</x:f>
        <x:v>0.7119599999999999</x:v>
      </x:c>
      <x:c r="E29" s="4" t="n">
        <x:f>IF(MAX($D$2:$D$46)=MIN($D$2:$D$46),0,(D29-MIN($D$2:$D$46))/(MAX($D$2:$D$46)-MIN($D$2:$D$46)))</x:f>
        <x:v>0.7530742489493072</x:v>
      </x:c>
    </x:row>
    <x:row r="30">
      <x:c r="A30" t="s">
        <x:v>33</x:v>
      </x:c>
      <x:c r="B30" s="4" t="n">
        <x:v>0.751</x:v>
      </x:c>
      <x:c r="C30" s="4" t="n">
        <x:v>0.6589</x:v>
      </x:c>
      <x:c r="D30" s="4" t="n">
        <x:f>0.6*B30+0.4*C30</x:f>
        <x:v>0.71416</x:v>
      </x:c>
      <x:c r="E30" s="4" t="n">
        <x:f>IF(MAX($D$2:$D$46)=MIN($D$2:$D$46),0,(D30-MIN($D$2:$D$46))/(MAX($D$2:$D$46)-MIN($D$2:$D$46)))</x:f>
        <x:v>0.7559279821511959</x:v>
      </x:c>
    </x:row>
    <x:row r="31">
      <x:c r="A31" t="s">
        <x:v>34</x:v>
      </x:c>
      <x:c r="B31" s="4" t="n">
        <x:v>0.644</x:v>
      </x:c>
      <x:c r="C31" s="4" t="n">
        <x:v>0.714</x:v>
      </x:c>
      <x:c r="D31" s="4" t="n">
        <x:f>0.6*B31+0.4*C31</x:f>
        <x:v>0.672</x:v>
      </x:c>
      <x:c r="E31" s="4" t="n">
        <x:f>IF(MAX($D$2:$D$46)=MIN($D$2:$D$46),0,(D31-MIN($D$2:$D$46))/(MAX($D$2:$D$46)-MIN($D$2:$D$46)))</x:f>
        <x:v>0.7012400767913662</x:v>
      </x:c>
    </x:row>
    <x:row r="32">
      <x:c r="A32" t="s">
        <x:v>35</x:v>
      </x:c>
      <x:c r="B32" s="4" t="n">
        <x:v>0.139</x:v>
      </x:c>
      <x:c r="C32" s="4" t="n">
        <x:v>0.6125</x:v>
      </x:c>
      <x:c r="D32" s="4" t="n">
        <x:f>0.6*B32+0.4*C32</x:f>
        <x:v>0.3284</x:v>
      </x:c>
      <x:c r="E32" s="4" t="n">
        <x:f>IF(MAX($D$2:$D$46)=MIN($D$2:$D$46),0,(D32-MIN($D$2:$D$46))/(MAX($D$2:$D$46)-MIN($D$2:$D$46)))</x:f>
        <x:v>0.25553883671457484</x:v>
      </x:c>
    </x:row>
    <x:row r="33">
      <x:c r="A33" t="s">
        <x:v>36</x:v>
      </x:c>
      <x:c r="B33" s="4" t="n">
        <x:v>0.546</x:v>
      </x:c>
      <x:c r="C33" s="4" t="n">
        <x:v>0.6081</x:v>
      </x:c>
      <x:c r="D33" s="4" t="n">
        <x:f>0.6*B33+0.4*C33</x:f>
        <x:v>0.57084</x:v>
      </x:c>
      <x:c r="E33" s="4" t="n">
        <x:f>IF(MAX($D$2:$D$46)=MIN($D$2:$D$46),0,(D33-MIN($D$2:$D$46))/(MAX($D$2:$D$46)-MIN($D$2:$D$46)))</x:f>
        <x:v>0.5700202355627043</x:v>
      </x:c>
    </x:row>
    <x:row r="34">
      <x:c r="A34" t="s">
        <x:v>37</x:v>
      </x:c>
      <x:c r="B34" s="4" t="n">
        <x:v>0.472</x:v>
      </x:c>
      <x:c r="C34" s="4" t="n">
        <x:v>0.6286</x:v>
      </x:c>
      <x:c r="D34" s="4" t="n">
        <x:f>0.6*B34+0.4*C34</x:f>
        <x:v>0.53464</x:v>
      </x:c>
      <x:c r="E34" s="4" t="n">
        <x:f>IF(MAX($D$2:$D$46)=MIN($D$2:$D$46),0,(D34-MIN($D$2:$D$46))/(MAX($D$2:$D$46)-MIN($D$2:$D$46)))</x:f>
        <x:v>0.5230633528770819</x:v>
      </x:c>
    </x:row>
    <x:row r="35">
      <x:c r="A35" t="s">
        <x:v>38</x:v>
      </x:c>
      <x:c r="B35" s="4" t="n">
        <x:v>0.396</x:v>
      </x:c>
      <x:c r="C35" s="4" t="n">
        <x:v>0</x:v>
      </x:c>
      <x:c r="D35" s="4" t="n">
        <x:f>0.6*B35+0.4*C35</x:f>
        <x:v>0.2376</x:v>
      </x:c>
      <x:c r="E35" s="4" t="n">
        <x:f>IF(MAX($D$2:$D$46)=MIN($D$2:$D$46),0,(D35-MIN($D$2:$D$46))/(MAX($D$2:$D$46)-MIN($D$2:$D$46)))</x:f>
        <x:v>0.1377574845638977</x:v>
      </x:c>
    </x:row>
    <x:row r="36">
      <x:c r="A36" t="s">
        <x:v>39</x:v>
      </x:c>
      <x:c r="B36" s="4" t="n">
        <x:v>0.421</x:v>
      </x:c>
      <x:c r="C36" s="4" t="n">
        <x:v>0.6371</x:v>
      </x:c>
      <x:c r="D36" s="4" t="n">
        <x:f>0.6*B36+0.4*C36</x:f>
        <x:v>0.50744</x:v>
      </x:c>
      <x:c r="E36" s="4" t="n">
        <x:f>IF(MAX($D$2:$D$46)=MIN($D$2:$D$46),0,(D36-MIN($D$2:$D$46))/(MAX($D$2:$D$46)-MIN($D$2:$D$46)))</x:f>
        <x:v>0.487780833290095</x:v>
      </x:c>
    </x:row>
    <x:row r="37">
      <x:c r="A37" t="s">
        <x:v>40</x:v>
      </x:c>
      <x:c r="B37" s="4" t="n">
        <x:v>0.234</x:v>
      </x:c>
      <x:c r="C37" s="4" t="n">
        <x:v>0.6457</x:v>
      </x:c>
      <x:c r="D37" s="4" t="n">
        <x:f>0.6*B37+0.4*C37</x:f>
        <x:v>0.39868000000000003</x:v>
      </x:c>
      <x:c r="E37" s="4" t="n">
        <x:f>IF(MAX($D$2:$D$46)=MIN($D$2:$D$46),0,(D37-MIN($D$2:$D$46))/(MAX($D$2:$D$46)-MIN($D$2:$D$46)))</x:f>
        <x:v>0.3467026410003633</x:v>
      </x:c>
    </x:row>
    <x:row r="38">
      <x:c r="A38" t="s">
        <x:v>41</x:v>
      </x:c>
      <x:c r="B38" s="4" t="n">
        <x:v>0.456</x:v>
      </x:c>
      <x:c r="C38" s="4" t="n">
        <x:v>0.6248</x:v>
      </x:c>
      <x:c r="D38" s="4" t="n">
        <x:f>0.6*B38+0.4*C38</x:f>
        <x:v>0.52352</x:v>
      </x:c>
      <x:c r="E38" s="4" t="n">
        <x:f>IF(MAX($D$2:$D$46)=MIN($D$2:$D$46),0,(D38-MIN($D$2:$D$46))/(MAX($D$2:$D$46)-MIN($D$2:$D$46)))</x:f>
        <x:v>0.5086390286929902</x:v>
      </x:c>
    </x:row>
    <x:row r="39">
      <x:c r="A39" t="s">
        <x:v>42</x:v>
      </x:c>
      <x:c r="B39" s="4" t="n">
        <x:v>0.045</x:v>
      </x:c>
      <x:c r="C39" s="4" t="n">
        <x:v>0.5739</x:v>
      </x:c>
      <x:c r="D39" s="4" t="n">
        <x:f>0.6*B39+0.4*C39</x:f>
        <x:v>0.25656</x:v>
      </x:c>
      <x:c r="E39" s="4" t="n">
        <x:f>IF(MAX($D$2:$D$46)=MIN($D$2:$D$46),0,(D39-MIN($D$2:$D$46))/(MAX($D$2:$D$46)-MIN($D$2:$D$46)))</x:f>
        <x:v>0.16235147615835627</x:v>
      </x:c>
    </x:row>
    <x:row r="40">
      <x:c r="A40" t="s">
        <x:v>43</x:v>
      </x:c>
      <x:c r="B40" s="4" t="n">
        <x:v>0.803</x:v>
      </x:c>
      <x:c r="C40" s="4" t="n">
        <x:v>0.5242</x:v>
      </x:c>
      <x:c r="D40" s="4" t="n">
        <x:f>0.6*B40+0.4*C40</x:f>
        <x:v>0.69148</x:v>
      </x:c>
      <x:c r="E40" s="4" t="n">
        <x:f>IF(MAX($D$2:$D$46)=MIN($D$2:$D$46),0,(D40-MIN($D$2:$D$46))/(MAX($D$2:$D$46)-MIN($D$2:$D$46)))</x:f>
        <x:v>0.7265085871426348</x:v>
      </x:c>
    </x:row>
    <x:row r="41">
      <x:c r="A41" t="s">
        <x:v>44</x:v>
      </x:c>
      <x:c r="B41" s="4" t="n">
        <x:v>0.74</x:v>
      </x:c>
      <x:c r="C41" s="4" t="n">
        <x:v>0.6704</x:v>
      </x:c>
      <x:c r="D41" s="4" t="n">
        <x:f>0.6*B41+0.4*C41</x:f>
        <x:v>0.71216</x:v>
      </x:c>
      <x:c r="E41" s="4" t="n">
        <x:f>IF(MAX($D$2:$D$46)=MIN($D$2:$D$46),0,(D41-MIN($D$2:$D$46))/(MAX($D$2:$D$46)-MIN($D$2:$D$46)))</x:f>
        <x:v>0.7533336792403881</x:v>
      </x:c>
    </x:row>
    <x:row r="42">
      <x:c r="A42" t="s">
        <x:v>45</x:v>
      </x:c>
      <x:c r="B42" s="4" t="n">
        <x:v>0.511</x:v>
      </x:c>
      <x:c r="C42" s="4" t="n">
        <x:v>0.5544</x:v>
      </x:c>
      <x:c r="D42" s="4" t="n">
        <x:f>0.6*B42+0.4*C42</x:f>
        <x:v>0.5283599999999999</x:v>
      </x:c>
      <x:c r="E42" s="4" t="n">
        <x:f>IF(MAX($D$2:$D$46)=MIN($D$2:$D$46),0,(D42-MIN($D$2:$D$46))/(MAX($D$2:$D$46)-MIN($D$2:$D$46)))</x:f>
        <x:v>0.5149172417371451</x:v>
      </x:c>
    </x:row>
    <x:row r="43">
      <x:c r="A43" t="s">
        <x:v>46</x:v>
      </x:c>
      <x:c r="B43" s="4" t="n">
        <x:v>0.672</x:v>
      </x:c>
      <x:c r="C43" s="4" t="n">
        <x:v>0.6231</x:v>
      </x:c>
      <x:c r="D43" s="4" t="n">
        <x:f>0.6*B43+0.4*C43</x:f>
        <x:v>0.65244</x:v>
      </x:c>
      <x:c r="E43" s="4" t="n">
        <x:f>IF(MAX($D$2:$D$46)=MIN($D$2:$D$46),0,(D43-MIN($D$2:$D$46))/(MAX($D$2:$D$46)-MIN($D$2:$D$46)))</x:f>
        <x:v>0.6758677943236653</x:v>
      </x:c>
    </x:row>
    <x:row r="44">
      <x:c r="A44" t="s">
        <x:v>47</x:v>
      </x:c>
      <x:c r="B44" s="4" t="n">
        <x:v>0.571</x:v>
      </x:c>
      <x:c r="C44" s="4" t="n">
        <x:v>0.624</x:v>
      </x:c>
      <x:c r="D44" s="4" t="n">
        <x:f>0.6*B44+0.4*C44</x:f>
        <x:v>0.5922</x:v>
      </x:c>
      <x:c r="E44" s="4" t="n">
        <x:f>IF(MAX($D$2:$D$46)=MIN($D$2:$D$46),0,(D44-MIN($D$2:$D$46))/(MAX($D$2:$D$46)-MIN($D$2:$D$46)))</x:f>
        <x:v>0.5977273906501323</x:v>
      </x:c>
    </x:row>
    <x:row r="45">
      <x:c r="A45" t="s">
        <x:v>48</x:v>
      </x:c>
      <x:c r="B45" s="4" t="n">
        <x:v>0.588</x:v>
      </x:c>
      <x:c r="C45" s="4" t="n">
        <x:v>0.5958</x:v>
      </x:c>
      <x:c r="D45" s="4" t="n">
        <x:f>0.6*B45+0.4*C45</x:f>
        <x:v>0.59112</x:v>
      </x:c>
      <x:c r="E45" s="4" t="n">
        <x:f>IF(MAX($D$2:$D$46)=MIN($D$2:$D$46),0,(D45-MIN($D$2:$D$46))/(MAX($D$2:$D$46)-MIN($D$2:$D$46)))</x:f>
        <x:v>0.5963264670782961</x:v>
      </x:c>
    </x:row>
    <x:row r="46">
      <x:c r="A46" t="s">
        <x:v>49</x:v>
      </x:c>
      <x:c r="B46" s="4" t="n">
        <x:v>0.205</x:v>
      </x:c>
      <x:c r="C46" s="4" t="n">
        <x:v>0.6961</x:v>
      </x:c>
      <x:c r="D46" s="4" t="n">
        <x:f>0.6*B46+0.4*C46</x:f>
        <x:v>0.40144</x:v>
      </x:c>
      <x:c r="E46" s="4" t="n">
        <x:f>IF(MAX($D$2:$D$46)=MIN($D$2:$D$46),0,(D46-MIN($D$2:$D$46))/(MAX($D$2:$D$46)-MIN($D$2:$D$46)))</x:f>
        <x:v>0.3502827790172781</x:v>
      </x:c>
    </x:row>
  </x:sheetData>
  <x:pageMargins left="0.7" right="0.7" top="0.75" bottom="0.75" header="0.3" footer="0.3"/>
</x:worksheet>
</file>